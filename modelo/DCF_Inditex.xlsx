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pótesis" sheetId="1" state="visible" r:id="rId3"/>
    <sheet name="DCF" sheetId="2" state="visible" r:id="rId4"/>
    <sheet name="Sensibilidad" sheetId="3" state="visible" r:id="rId5"/>
    <sheet name="Múltipl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Manuel</author>
  </authors>
  <commentList>
    <comment ref="B5" authorId="0">
      <text>
        <r>
          <rPr>
            <sz val="10"/>
            <rFont val="Arial"/>
            <family val="2"/>
          </rPr>
          <t xml:space="preserve">2022-2024: Yahoo Finance vía yfinance (data/processed/ratios.csv). 2025: informe oficial.</t>
        </r>
      </text>
    </comment>
    <comment ref="D26" authorId="0">
      <text>
        <r>
          <rPr>
            <sz val="10"/>
            <rFont val="Arial"/>
            <family val="2"/>
          </rPr>
          <t xml:space="preserve">Aproximación: añade ~2% de intereses sobre la caja neta al EBIT antes de impuestos.</t>
        </r>
      </text>
    </comment>
  </commentList>
</comments>
</file>

<file path=xl/sharedStrings.xml><?xml version="1.0" encoding="utf-8"?>
<sst xmlns="http://schemas.openxmlformats.org/spreadsheetml/2006/main" count="188" uniqueCount="173">
  <si>
    <t xml:space="preserve">Inditex (ITX.MC) · Hipótesis del DCF</t>
  </si>
  <si>
    <t xml:space="preserve">Celdas amarillas con texto azul = hipótesis que puedes cambiar. Todo lo demás se recalcula solo.</t>
  </si>
  <si>
    <t xml:space="preserve">1. Datos de mercado</t>
  </si>
  <si>
    <t xml:space="preserve">Precio de la acción (€)</t>
  </si>
  <si>
    <t xml:space="preserve">Cierre 02/10/2026, Bolsa de Madrid (MarketScreener / Bolsamanía)</t>
  </si>
  <si>
    <t xml:space="preserve">Nº de acciones (millones)</t>
  </si>
  <si>
    <t xml:space="preserve">Capital social: 3.116.652.000 acciones (Inditex)</t>
  </si>
  <si>
    <t xml:space="preserve">Fecha de valoración</t>
  </si>
  <si>
    <t xml:space="preserve">Fecha del análisis</t>
  </si>
  <si>
    <t xml:space="preserve">Posición financiera neta (M€)</t>
  </si>
  <si>
    <t xml:space="preserve">Caja − deuda financiera a 31/01/2026, sin arrendamientos. Informe FY2025 Inditex</t>
  </si>
  <si>
    <t xml:space="preserve">2. Coste de capital (WACC)</t>
  </si>
  <si>
    <t xml:space="preserve">Tipo libre de riesgo (bono España 10 años)</t>
  </si>
  <si>
    <t xml:space="preserve">Rentabilidad bono español 10a, 03/10/2026 (elEconomista / euribor.com.es)</t>
  </si>
  <si>
    <t xml:space="preserve">Beta</t>
  </si>
  <si>
    <t xml:space="preserve">Beta 5 años mensual, Yahoo Finance (ITX.MC)</t>
  </si>
  <si>
    <t xml:space="preserve">Prima de riesgo del mercado (ERP)</t>
  </si>
  <si>
    <t xml:space="preserve">Damodaran: ERP mercado maduro 4,17% (jul. 2026) + pequeño ajuste por España</t>
  </si>
  <si>
    <t xml:space="preserve">Coste del capital propio (Ke) = Rf + β × ERP</t>
  </si>
  <si>
    <t xml:space="preserve">Peso de la deuda financiera</t>
  </si>
  <si>
    <t xml:space="preserve">Inditex no tiene deuda financiera neta (tiene caja neta) → WACC = Ke</t>
  </si>
  <si>
    <t xml:space="preserve">Coste de la deuda después de impuestos</t>
  </si>
  <si>
    <t xml:space="preserve">Solo influye si cambias el peso de la deuda</t>
  </si>
  <si>
    <t xml:space="preserve">WACC</t>
  </si>
  <si>
    <t xml:space="preserve">Crecimiento a perpetuidad (g)</t>
  </si>
  <si>
    <t xml:space="preserve">≈ inflación a largo plazo + algo de crecimiento real. Debe ser &lt; WACC</t>
  </si>
  <si>
    <t xml:space="preserve">3. Hipótesis operativas</t>
  </si>
  <si>
    <t xml:space="preserve">Ejercicio (cierra el 31 de enero del año siguiente)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</si>
  <si>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</si>
  <si>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</si>
  <si>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</si>
  <si>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</si>
  <si>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</si>
  <si>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Por qué</t>
  </si>
  <si>
    <t xml:space="preserve">Crecimiento de ventas</t>
  </si>
  <si>
    <t xml:space="preserve">1S 2026: +7,6% (+9,2% a tipo constante). Se va frenando hacia el largo plazo.</t>
  </si>
  <si>
    <t xml:space="preserve">Margen EBIT</t>
  </si>
  <si>
    <t xml:space="preserve">FY2025: 20,1%. Guía: margen bruto estable ±50 pb. Mejora lenta por apalancamiento operativo.</t>
  </si>
  <si>
    <t xml:space="preserve">Amortizaciones (% ventas)</t>
  </si>
  <si>
    <t xml:space="preserve">FY2025: 3.270 M€ = 8,2% de ventas (incluye amortización de tiendas alquiladas, NIIF 16).</t>
  </si>
  <si>
    <t xml:space="preserve">Capex (% ventas)</t>
  </si>
  <si>
    <t xml:space="preserve">Guía 2026: capex ordinario ≈ 2.300 M€ (≈5,4% de ventas).</t>
  </si>
  <si>
    <t xml:space="preserve">Pagos por arrendamientos (% ventas)</t>
  </si>
  <si>
    <t xml:space="preserve">FY2025: 1.834 M€ = 4,6% de ventas. Se restan porque son un coste real de caja.</t>
  </si>
  <si>
    <t xml:space="preserve">Inversión en circulante (% del aumento de ventas)</t>
  </si>
  <si>
    <t xml:space="preserve">Hipótesis prudente. Inditex suele tener circulante negativo, pero en 2025 consumió 803 M€.</t>
  </si>
  <si>
    <t xml:space="preserve">Tipo impositivo</t>
  </si>
  <si>
    <t xml:space="preserve">FY2025: (BAI 8.020 − beneficio 6.220) / 8.020 ≈ 22,4%.</t>
  </si>
  <si>
    <t xml:space="preserve">Datos reales del ejercicio 2025 (punto de partida)</t>
  </si>
  <si>
    <t xml:space="preserve">Ventas FY2025 (M€)</t>
  </si>
  <si>
    <t xml:space="preserve">Informe FY2025 Inditex</t>
  </si>
  <si>
    <t xml:space="preserve">EBIT FY2025 (M€)</t>
  </si>
  <si>
    <t xml:space="preserve">Amortizaciones FY2025 (M€)</t>
  </si>
  <si>
    <t xml:space="preserve">Capex FY2025 (M€)</t>
  </si>
  <si>
    <t xml:space="preserve">Informe FY2025 Inditex (incluye inversión extraordinaria en logística)</t>
  </si>
  <si>
    <t xml:space="preserve">Pagos por arrendamientos FY2025 (M€)</t>
  </si>
  <si>
    <t xml:space="preserve">Leyenda:</t>
  </si>
  <si>
    <t xml:space="preserve">Azul sobre amarillo = hipótesis editable</t>
  </si>
  <si>
    <t xml:space="preserve">Negro = fórmula (no tocar)</t>
  </si>
  <si>
    <t xml:space="preserve">Verde = dato traído de otra hoja</t>
  </si>
  <si>
    <t xml:space="preserve">Inditex (ITX.MC) · Descuento de flujos de caja (M€)</t>
  </si>
  <si>
    <t xml:space="preserve">Ejercicio fiscal</t>
  </si>
  <si>
    <t xml:space="preserve">2022</t>
  </si>
  <si>
    <t xml:space="preserve">2023</t>
  </si>
  <si>
    <t xml:space="preserve">2024</t>
  </si>
  <si>
    <t xml:space="preserve">2025</t>
  </si>
  <si>
    <t xml:space="preserve">← Histórico (real)</t>
  </si>
  <si>
    <t xml:space="preserve">Proyección →</t>
  </si>
  <si>
    <t xml:space="preserve">Ventas</t>
  </si>
  <si>
    <t xml:space="preserve">  Crecimiento</t>
  </si>
  <si>
    <t xml:space="preserve">EBIT (resultado de explotación)</t>
  </si>
  <si>
    <t xml:space="preserve">  Margen EBIT</t>
  </si>
  <si>
    <t xml:space="preserve">(−) Impuestos sobre el EBIT</t>
  </si>
  <si>
    <t xml:space="preserve">NOPAT (EBIT después de impuestos)</t>
  </si>
  <si>
    <t xml:space="preserve">(+) Amortizaciones</t>
  </si>
  <si>
    <t xml:space="preserve">(−) Capex (inversiones)</t>
  </si>
  <si>
    <t xml:space="preserve">(−) Pagos por arrendamientos</t>
  </si>
  <si>
    <t xml:space="preserve">(−) Inversión en circulante</t>
  </si>
  <si>
    <t xml:space="preserve">Flujo de caja libre (FCF)</t>
  </si>
  <si>
    <t xml:space="preserve">Años desde la fecha de valoración</t>
  </si>
  <si>
    <t xml:space="preserve">Factor de descuento</t>
  </si>
  <si>
    <t xml:space="preserve">Valor actual del FCF</t>
  </si>
  <si>
    <t xml:space="preserve">Valoración</t>
  </si>
  <si>
    <t xml:space="preserve">Suma del valor actual de los FCF 2026e-2030e</t>
  </si>
  <si>
    <t xml:space="preserve">Comprobaciones</t>
  </si>
  <si>
    <t xml:space="preserve">FCF del último año proyectado × (1 + g)</t>
  </si>
  <si>
    <t xml:space="preserve">Peso del valor terminal en el EV</t>
  </si>
  <si>
    <t xml:space="preserve">Valor terminal en 2030 = FCF₂₀₃₁ / (WACC − g)</t>
  </si>
  <si>
    <t xml:space="preserve">EV / EBIT 2026e implícito</t>
  </si>
  <si>
    <t xml:space="preserve">Valor actual del valor terminal</t>
  </si>
  <si>
    <t xml:space="preserve">PER 2026e implícito (aprox.)</t>
  </si>
  <si>
    <t xml:space="preserve">Valor de empresa (EV)</t>
  </si>
  <si>
    <t xml:space="preserve">Precio que paga el mercado: EV / EBIT 2026e</t>
  </si>
  <si>
    <t xml:space="preserve">(+) Posición financiera neta (caja neta)</t>
  </si>
  <si>
    <t xml:space="preserve">WACC usado</t>
  </si>
  <si>
    <t xml:space="preserve">Valor de los fondos propios</t>
  </si>
  <si>
    <t xml:space="preserve">g usado</t>
  </si>
  <si>
    <t xml:space="preserve">VALOR POR ACCIÓN (€)</t>
  </si>
  <si>
    <t xml:space="preserve">Precio actual (€)</t>
  </si>
  <si>
    <t xml:space="preserve">Potencial de revalorización (+) / caída (−)</t>
  </si>
  <si>
    <t xml:space="preserve">Cómo se calcula el FCF</t>
  </si>
  <si>
    <t xml:space="preserve">• FCF = EBIT × (1 − impuestos) + amortizaciones − capex − pagos por arrendamientos − inversión en circulante.</t>
  </si>
  <si>
    <t xml:space="preserve">• Los alquileres de tiendas se restan como pago de caja; por eso NO se resta la deuda por arrendamientos (NIIF 16) del valor de empresa.</t>
  </si>
  <si>
    <t xml:space="preserve">• Al valor de empresa solo se le suma la caja neta financiera (10.958 M€), no la 'deuda total' de Yahoo.</t>
  </si>
  <si>
    <t xml:space="preserve">• Simplificación: el FCF de 2026e se descuenta entero aunque parte del ejercicio ya ha pasado, y la caja es la de 31/01/2026.</t>
  </si>
  <si>
    <t xml:space="preserve">Valor por acción (€) según WACC y crecimiento a perpetuidad (g)</t>
  </si>
  <si>
    <t xml:space="preserve">WACC ↓  /  g →</t>
  </si>
  <si>
    <t xml:space="preserve">Precio actual:</t>
  </si>
  <si>
    <t xml:space="preserve">Caso base:</t>
  </si>
  <si>
    <t xml:space="preserve">Cómo leerla: cada celda es el valor por acción si cambias solo el WACC (fila) y g (columna). Verde = por encima del precio actual; rojo = por debajo.</t>
  </si>
  <si>
    <t xml:space="preserve">Inditex (ITX.MC) · Valoración por múltiplos de comparables</t>
  </si>
  <si>
    <t xml:space="preserve">Estimaciones de consenso del ejercicio en curso (MarketScreener, 02/10/2026). Cada empresa en su moneda y en millones: los múltiplos no dependen de la moneda.</t>
  </si>
  <si>
    <t xml:space="preserve">Empresa</t>
  </si>
  <si>
    <t xml:space="preserve">Moneda</t>
  </si>
  <si>
    <t xml:space="preserve">Capitalización</t>
  </si>
  <si>
    <t xml:space="preserve">Valor empresa (EV)</t>
  </si>
  <si>
    <t xml:space="preserve">EBIT</t>
  </si>
  <si>
    <t xml:space="preserve">Beneficio neto</t>
  </si>
  <si>
    <t xml:space="preserve">EV / EBIT</t>
  </si>
  <si>
    <t xml:space="preserve">PER</t>
  </si>
  <si>
    <t xml:space="preserve">Ejercicio</t>
  </si>
  <si>
    <t xml:space="preserve">Comentario</t>
  </si>
  <si>
    <t xml:space="preserve">H&amp;M</t>
  </si>
  <si>
    <t xml:space="preserve">SEK</t>
  </si>
  <si>
    <t xml:space="preserve">nov-2026e</t>
  </si>
  <si>
    <t xml:space="preserve">Competidor más directo. Crece poco y con márgenes muy inferiores.</t>
  </si>
  <si>
    <t xml:space="preserve">Fast Retailing (Uniqlo)</t>
  </si>
  <si>
    <t xml:space="preserve">JPY</t>
  </si>
  <si>
    <t xml:space="preserve">ago-2026e</t>
  </si>
  <si>
    <t xml:space="preserve">El otro 'ganador' global del sector; cotiza con prima.</t>
  </si>
  <si>
    <t xml:space="preserve">Next plc</t>
  </si>
  <si>
    <t xml:space="preserve">GBP</t>
  </si>
  <si>
    <t xml:space="preserve">ene-2027e</t>
  </si>
  <si>
    <t xml:space="preserve">Moda británica, fuerte en online.</t>
  </si>
  <si>
    <t xml:space="preserve">Associated British Foods (Primark)</t>
  </si>
  <si>
    <t xml:space="preserve">sep-2026e</t>
  </si>
  <si>
    <t xml:space="preserve">Incluye negocio de alimentación: cotiza con descuento.</t>
  </si>
  <si>
    <t xml:space="preserve">Mediana de comparables</t>
  </si>
  <si>
    <t xml:space="preserve">Mínimo</t>
  </si>
  <si>
    <t xml:space="preserve">Máximo</t>
  </si>
  <si>
    <t xml:space="preserve">Inditex (precio actual)</t>
  </si>
  <si>
    <t xml:space="preserve">EUR</t>
  </si>
  <si>
    <t xml:space="preserve">EBIT y beneficio: consenso MarketScreener. EV con la caja neta de 31/01/2026.</t>
  </si>
  <si>
    <t xml:space="preserve">Prima de Inditex frente a la mediana</t>
  </si>
  <si>
    <t xml:space="preserve">Valor implícito de Inditex (€/acción)</t>
  </si>
  <si>
    <t xml:space="preserve">Mediana</t>
  </si>
  <si>
    <t xml:space="preserve">Por EV / EBIT</t>
  </si>
  <si>
    <t xml:space="preserve">Por PER</t>
  </si>
  <si>
    <t xml:space="preserve">Media de ambos métodos (mediana)</t>
  </si>
  <si>
    <t xml:space="preserve">Precio objetivo combinado</t>
  </si>
  <si>
    <t xml:space="preserve">Peso</t>
  </si>
  <si>
    <t xml:space="preserve">€/acción</t>
  </si>
  <si>
    <t xml:space="preserve">DCF (caso base)</t>
  </si>
  <si>
    <t xml:space="preserve">Múltiplos (mediana)</t>
  </si>
  <si>
    <t xml:space="preserve">PRECIO OBJETIVO</t>
  </si>
  <si>
    <t xml:space="preserve">Precio actual</t>
  </si>
  <si>
    <t xml:space="preserve">Potencial</t>
  </si>
  <si>
    <t xml:space="preserve">Recomendación</t>
  </si>
  <si>
    <t xml:space="preserve">Regla: potencial &gt; +15% → Comprar · entre −15% y +15% → Mantener · &lt; −15% → Vender</t>
  </si>
  <si>
    <t xml:space="preserve">Notas</t>
  </si>
  <si>
    <t xml:space="preserve">• Se usan EV/EBIT y PER porque EV/EBITDA se distorsiona con la NIIF 16 (cada empresa trata los alquileres de forma distinta).</t>
  </si>
  <si>
    <t xml:space="preserve">• Inditex merece cotizar con prima frente a H&amp;M, Next y ABF por sus márgenes (EBIT ≈ 20% vs. 8-18%) y su caja neta; Fast Retailing es el único comparable de calidad similar.</t>
  </si>
  <si>
    <t xml:space="preserve">• Fuente: MarketScreener, páginas de valoración de cada empresa, consultadas el 03/10/2026.</t>
  </si>
  <si>
    <t xml:space="preserve">Campo de fútbol (rangos de valor, €/acción)</t>
  </si>
  <si>
    <t xml:space="preserve">Cómo se obtiene</t>
  </si>
  <si>
    <t xml:space="preserve">Cotización últimas 52 semanas</t>
  </si>
  <si>
    <t xml:space="preserve">Mínimo y máximo de 52 semanas (estrategiasdeinversion.com, 02/10/2026)</t>
  </si>
  <si>
    <t xml:space="preserve">DCF (WACC 7,5-8,5%, g 2-3%)</t>
  </si>
  <si>
    <t xml:space="preserve">Zona central de la tabla de sensibilidad</t>
  </si>
  <si>
    <t xml:space="preserve">Múltiplos EV/EBIT (percentil 25-75)</t>
  </si>
  <si>
    <t xml:space="preserve">EV/EBIT de comparables × EBIT 2026e + caja neta</t>
  </si>
  <si>
    <t xml:space="preserve">Múltiplos PER (percentil 25-75)</t>
  </si>
  <si>
    <t xml:space="preserve">PER de comparables × beneficio 2026e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</si>
</sst>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&quot; €&quot;;\(#,##0.00&quot; €)&quot;"/>
    <numFmt numFmtId="166" formatCode="#,##0.00"/>
    <numFmt numFmtId="167" formatCode="dd/mm/yyyy"/>
    <numFmt numFmtId="168" formatCode="#,##0;\(#,##0\);\-"/>
    <numFmt numFmtId="169" formatCode="0.0%;\(0.0%\);\-"/>
    <numFmt numFmtId="170" formatCode="0.00"/>
    <numFmt numFmtId="171" formatCode="0.000"/>
    <numFmt numFmtId="172" formatCode="0.0\x"/>
    <numFmt numFmtId="173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70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n">
        <v>53.24</v>
      </c>
      <c r="H5" s="7" t="s">
        <v>4</v>
      </c>
    </row>
    <row r="6" customFormat="false" ht="15" hidden="false" customHeight="false" outlineLevel="0" collapsed="false">
      <c r="A6" s="5" t="s">
        <v>5</v>
      </c>
      <c r="B6" s="8" t="n">
        <v>3116.65</v>
      </c>
      <c r="H6" s="7" t="s">
        <v>6</v>
      </c>
    </row>
    <row r="7" customFormat="false" ht="15" hidden="false" customHeight="false" outlineLevel="0" collapsed="false">
      <c r="A7" s="5" t="s">
        <v>7</v>
      </c>
      <c r="B7" s="9" t="n">
        <v>46298</v>
      </c>
      <c r="H7" s="7" t="s">
        <v>8</v>
      </c>
    </row>
    <row r="8" customFormat="false" ht="15" hidden="false" customHeight="false" outlineLevel="0" collapsed="false">
      <c r="A8" s="5" t="s">
        <v>9</v>
      </c>
      <c r="B8" s="10" t="n">
        <v>10958</v>
      </c>
      <c r="H8" s="7" t="s">
        <v>10</v>
      </c>
    </row>
    <row r="10" customFormat="false" ht="15" hidden="false" customHeight="false" outlineLevel="0" collapsed="false">
      <c r="A10" s="4" t="s">
        <v>11</v>
      </c>
    </row>
    <row r="11" customFormat="false" ht="15" hidden="false" customHeight="false" outlineLevel="0" collapsed="false">
      <c r="A11" s="5" t="s">
        <v>12</v>
      </c>
      <c r="B11" s="11" t="n">
        <v>0.0415</v>
      </c>
      <c r="H11" s="7" t="s">
        <v>13</v>
      </c>
    </row>
    <row r="12" customFormat="false" ht="15" hidden="false" customHeight="false" outlineLevel="0" collapsed="false">
      <c r="A12" s="5" t="s">
        <v>14</v>
      </c>
      <c r="B12" s="12" t="n">
        <v>0.9</v>
      </c>
      <c r="H12" s="7" t="s">
        <v>15</v>
      </c>
    </row>
    <row r="13" customFormat="false" ht="15" hidden="false" customHeight="false" outlineLevel="0" collapsed="false">
      <c r="A13" s="5" t="s">
        <v>16</v>
      </c>
      <c r="B13" s="11" t="n">
        <v>0.045</v>
      </c>
      <c r="H13" s="7" t="s">
        <v>17</v>
      </c>
    </row>
    <row r="14" customFormat="false" ht="15" hidden="false" customHeight="false" outlineLevel="0" collapsed="false">
      <c r="A14" s="13" t="s">
        <v>18</v>
      </c>
      <c r="B14" s="14" t="n">
        <f aca="false">B11+B12*B13</f>
        <v>0.082</v>
      </c>
    </row>
    <row r="15" customFormat="false" ht="15" hidden="false" customHeight="false" outlineLevel="0" collapsed="false">
      <c r="A15" s="5" t="s">
        <v>19</v>
      </c>
      <c r="B15" s="11" t="n">
        <v>0</v>
      </c>
      <c r="H15" s="7" t="s">
        <v>20</v>
      </c>
    </row>
    <row r="16" customFormat="false" ht="15" hidden="false" customHeight="false" outlineLevel="0" collapsed="false">
      <c r="A16" s="5" t="s">
        <v>21</v>
      </c>
      <c r="B16" s="11" t="n">
        <v>0.03</v>
      </c>
      <c r="H16" s="7" t="s">
        <v>22</v>
      </c>
    </row>
    <row r="17" customFormat="false" ht="15" hidden="false" customHeight="false" outlineLevel="0" collapsed="false">
      <c r="A17" s="4" t="s">
        <v>23</v>
      </c>
      <c r="B17" s="15" t="n">
        <f aca="false">B14*(1-B15)+B16*B15</f>
        <v>0.082</v>
      </c>
    </row>
    <row r="18" customFormat="false" ht="15" hidden="false" customHeight="false" outlineLevel="0" collapsed="false">
      <c r="A18" s="5" t="s">
        <v>24</v>
      </c>
      <c r="B18" s="11" t="n">
        <v>0.025</v>
      </c>
      <c r="H18" s="7" t="s">
        <v>25</v>
      </c>
    </row>
    <row r="20" customFormat="false" ht="15" hidden="false" customHeight="false" outlineLevel="0" collapsed="false">
      <c r="A20" s="4" t="s">
        <v>26</v>
      </c>
    </row>
    <row r="21" customFormat="false" ht="15" hidden="false" customHeight="false" outlineLevel="0" collapsed="false">
      <c r="A21" s="16" t="s">
        <v>27</v>
      </c>
      <c r="B21" s="2"/>
      <c r="C21" s="17" t="s">
        <v>28</v>
      </c>
      <c r="D21" s="17" t="s">
        <v>29</v>
      </c>
      <c r="E21" s="17" t="s">
        <v>30</v>
      </c>
      <c r="F21" s="17" t="s">
        <v>31</v>
      </c>
      <c r="G21" s="17" t="s">
        <v>32</v>
      </c>
      <c r="H21" s="16" t="s">
        <v>33</v>
      </c>
    </row>
    <row r="22" customFormat="false" ht="15" hidden="false" customHeight="false" outlineLevel="0" collapsed="false">
      <c r="A22" s="5" t="s">
        <v>34</v>
      </c>
      <c r="C22" s="11" t="n">
        <v>0.07</v>
      </c>
      <c r="D22" s="11" t="n">
        <v>0.065</v>
      </c>
      <c r="E22" s="11" t="n">
        <v>0.06</v>
      </c>
      <c r="F22" s="11" t="n">
        <v>0.055</v>
      </c>
      <c r="G22" s="11" t="n">
        <v>0.05</v>
      </c>
      <c r="H22" s="7" t="s">
        <v>35</v>
      </c>
    </row>
    <row r="23" customFormat="false" ht="15" hidden="false" customHeight="false" outlineLevel="0" collapsed="false">
      <c r="A23" s="5" t="s">
        <v>36</v>
      </c>
      <c r="C23" s="11" t="n">
        <v>0.203</v>
      </c>
      <c r="D23" s="11" t="n">
        <v>0.205</v>
      </c>
      <c r="E23" s="11" t="n">
        <v>0.206</v>
      </c>
      <c r="F23" s="11" t="n">
        <v>0.207</v>
      </c>
      <c r="G23" s="11" t="n">
        <v>0.208</v>
      </c>
      <c r="H23" s="7" t="s">
        <v>37</v>
      </c>
    </row>
    <row r="24" customFormat="false" ht="15" hidden="false" customHeight="false" outlineLevel="0" collapsed="false">
      <c r="A24" s="5" t="s">
        <v>38</v>
      </c>
      <c r="C24" s="11" t="n">
        <v>0.082</v>
      </c>
      <c r="D24" s="11" t="n">
        <v>0.082</v>
      </c>
      <c r="E24" s="11" t="n">
        <v>0.082</v>
      </c>
      <c r="F24" s="11" t="n">
        <v>0.082</v>
      </c>
      <c r="G24" s="11" t="n">
        <v>0.082</v>
      </c>
      <c r="H24" s="7" t="s">
        <v>39</v>
      </c>
    </row>
    <row r="25" customFormat="false" ht="15" hidden="false" customHeight="false" outlineLevel="0" collapsed="false">
      <c r="A25" s="5" t="s">
        <v>40</v>
      </c>
      <c r="C25" s="11" t="n">
        <v>0.054</v>
      </c>
      <c r="D25" s="11" t="n">
        <v>0.055</v>
      </c>
      <c r="E25" s="11" t="n">
        <v>0.055</v>
      </c>
      <c r="F25" s="11" t="n">
        <v>0.055</v>
      </c>
      <c r="G25" s="11" t="n">
        <v>0.055</v>
      </c>
      <c r="H25" s="7" t="s">
        <v>41</v>
      </c>
    </row>
    <row r="26" customFormat="false" ht="15" hidden="false" customHeight="false" outlineLevel="0" collapsed="false">
      <c r="A26" s="5" t="s">
        <v>42</v>
      </c>
      <c r="C26" s="11" t="n">
        <v>0.046</v>
      </c>
      <c r="D26" s="11" t="n">
        <v>0.046</v>
      </c>
      <c r="E26" s="11" t="n">
        <v>0.046</v>
      </c>
      <c r="F26" s="11" t="n">
        <v>0.046</v>
      </c>
      <c r="G26" s="11" t="n">
        <v>0.046</v>
      </c>
      <c r="H26" s="7" t="s">
        <v>43</v>
      </c>
    </row>
    <row r="27" customFormat="false" ht="15" hidden="false" customHeight="false" outlineLevel="0" collapsed="false">
      <c r="A27" s="5" t="s">
        <v>44</v>
      </c>
      <c r="C27" s="11" t="n">
        <v>0.05</v>
      </c>
      <c r="D27" s="11" t="n">
        <v>0.05</v>
      </c>
      <c r="E27" s="11" t="n">
        <v>0.05</v>
      </c>
      <c r="F27" s="11" t="n">
        <v>0.05</v>
      </c>
      <c r="G27" s="11" t="n">
        <v>0.05</v>
      </c>
      <c r="H27" s="7" t="s">
        <v>45</v>
      </c>
    </row>
    <row r="28" customFormat="false" ht="15" hidden="false" customHeight="false" outlineLevel="0" collapsed="false">
      <c r="A28" s="5" t="s">
        <v>46</v>
      </c>
      <c r="C28" s="11" t="n">
        <v>0.225</v>
      </c>
      <c r="D28" s="11" t="n">
        <v>0.225</v>
      </c>
      <c r="E28" s="11" t="n">
        <v>0.225</v>
      </c>
      <c r="F28" s="11" t="n">
        <v>0.225</v>
      </c>
      <c r="G28" s="11" t="n">
        <v>0.225</v>
      </c>
      <c r="H28" s="7" t="s">
        <v>47</v>
      </c>
    </row>
    <row r="31" customFormat="false" ht="15" hidden="false" customHeight="false" outlineLevel="0" collapsed="false">
      <c r="A31" s="4" t="s">
        <v>48</v>
      </c>
    </row>
    <row r="32" customFormat="false" ht="15" hidden="false" customHeight="false" outlineLevel="0" collapsed="false">
      <c r="A32" s="5" t="s">
        <v>49</v>
      </c>
      <c r="B32" s="18" t="n">
        <v>39864</v>
      </c>
      <c r="H32" s="7" t="s">
        <v>50</v>
      </c>
    </row>
    <row r="33" customFormat="false" ht="15" hidden="false" customHeight="false" outlineLevel="0" collapsed="false">
      <c r="A33" s="5" t="s">
        <v>51</v>
      </c>
      <c r="B33" s="18" t="n">
        <v>7997</v>
      </c>
      <c r="H33" s="7" t="s">
        <v>50</v>
      </c>
    </row>
    <row r="34" customFormat="false" ht="15" hidden="false" customHeight="false" outlineLevel="0" collapsed="false">
      <c r="A34" s="5" t="s">
        <v>52</v>
      </c>
      <c r="B34" s="18" t="n">
        <v>3270</v>
      </c>
      <c r="H34" s="7" t="s">
        <v>50</v>
      </c>
    </row>
    <row r="35" customFormat="false" ht="15" hidden="false" customHeight="false" outlineLevel="0" collapsed="false">
      <c r="A35" s="5" t="s">
        <v>53</v>
      </c>
      <c r="B35" s="18" t="n">
        <v>2712</v>
      </c>
      <c r="H35" s="7" t="s">
        <v>54</v>
      </c>
    </row>
    <row r="36" customFormat="false" ht="15" hidden="false" customHeight="false" outlineLevel="0" collapsed="false">
      <c r="A36" s="5" t="s">
        <v>55</v>
      </c>
      <c r="B36" s="18" t="n">
        <v>1834</v>
      </c>
      <c r="H36" s="7" t="s">
        <v>50</v>
      </c>
    </row>
    <row r="38" customFormat="false" ht="15" hidden="false" customHeight="false" outlineLevel="0" collapsed="false">
      <c r="A38" s="4" t="s">
        <v>56</v>
      </c>
    </row>
    <row r="39" customFormat="false" ht="15" hidden="false" customHeight="false" outlineLevel="0" collapsed="false">
      <c r="A39" s="19" t="s">
        <v>57</v>
      </c>
    </row>
    <row r="40" customFormat="false" ht="15" hidden="false" customHeight="false" outlineLevel="0" collapsed="false">
      <c r="A40" s="5" t="s">
        <v>58</v>
      </c>
    </row>
    <row r="41" customFormat="false" ht="15" hidden="false" customHeight="false" outlineLevel="0" collapsed="false">
      <c r="A41" s="2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</cols>
  <sheetData>
    <row r="1" customFormat="false" ht="24" hidden="false" customHeight="tru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false" outlineLevel="0" collapsed="false">
      <c r="A3" s="16" t="s">
        <v>61</v>
      </c>
      <c r="B3" s="17" t="s">
        <v>62</v>
      </c>
      <c r="C3" s="17" t="s">
        <v>63</v>
      </c>
      <c r="D3" s="17" t="s">
        <v>64</v>
      </c>
      <c r="E3" s="17" t="s">
        <v>65</v>
      </c>
      <c r="F3" s="21" t="s">
        <v>28</v>
      </c>
      <c r="G3" s="21" t="s">
        <v>29</v>
      </c>
      <c r="H3" s="21" t="s">
        <v>30</v>
      </c>
      <c r="I3" s="21" t="s">
        <v>31</v>
      </c>
      <c r="J3" s="21" t="s">
        <v>32</v>
      </c>
    </row>
    <row r="4" customFormat="false" ht="15" hidden="false" customHeight="false" outlineLevel="0" collapsed="false">
      <c r="B4" s="22" t="s">
        <v>66</v>
      </c>
      <c r="F4" s="22" t="s">
        <v>67</v>
      </c>
    </row>
    <row r="5" customFormat="false" ht="15" hidden="false" customHeight="false" outlineLevel="0" collapsed="false">
      <c r="A5" s="4" t="s">
        <v>68</v>
      </c>
      <c r="B5" s="18" t="n">
        <v>32569</v>
      </c>
      <c r="C5" s="18" t="n">
        <v>35947</v>
      </c>
      <c r="D5" s="18" t="n">
        <v>38632</v>
      </c>
      <c r="E5" s="23" t="n">
        <f aca="false">Hipótesis!B32</f>
        <v>39864</v>
      </c>
      <c r="F5" s="24" t="n">
        <f aca="false">E5*(1+F6)</f>
        <v>42654.48</v>
      </c>
      <c r="G5" s="24" t="n">
        <f aca="false">F5*(1+G6)</f>
        <v>45427.0212</v>
      </c>
      <c r="H5" s="24" t="n">
        <f aca="false">G5*(1+H6)</f>
        <v>48152.642472</v>
      </c>
      <c r="I5" s="24" t="n">
        <f aca="false">H5*(1+I6)</f>
        <v>50801.03780796</v>
      </c>
      <c r="J5" s="24" t="n">
        <f aca="false">I5*(1+J6)</f>
        <v>53341.089698358</v>
      </c>
    </row>
    <row r="6" customFormat="false" ht="15" hidden="false" customHeight="false" outlineLevel="0" collapsed="false">
      <c r="A6" s="5" t="s">
        <v>69</v>
      </c>
      <c r="C6" s="14" t="n">
        <f aca="false">C5/B5-1</f>
        <v>0.103718259694802</v>
      </c>
      <c r="D6" s="14" t="n">
        <f aca="false">D5/C5-1</f>
        <v>0.0746932984671878</v>
      </c>
      <c r="E6" s="25" t="n">
        <f aca="false">E5/D5-1</f>
        <v>0.0318906605922551</v>
      </c>
      <c r="F6" s="26" t="n">
        <f aca="false">Hipótesis!C22</f>
        <v>0.07</v>
      </c>
      <c r="G6" s="26" t="n">
        <f aca="false">Hipótesis!D22</f>
        <v>0.065</v>
      </c>
      <c r="H6" s="26" t="n">
        <f aca="false">Hipótesis!E22</f>
        <v>0.06</v>
      </c>
      <c r="I6" s="26" t="n">
        <f aca="false">Hipótesis!F22</f>
        <v>0.055</v>
      </c>
      <c r="J6" s="26" t="n">
        <f aca="false">Hipótesis!G22</f>
        <v>0.05</v>
      </c>
    </row>
    <row r="7" customFormat="false" ht="15" hidden="false" customHeight="false" outlineLevel="0" collapsed="false">
      <c r="A7" s="5" t="s">
        <v>70</v>
      </c>
      <c r="B7" s="24" t="n">
        <f aca="false">B5*B8</f>
        <v>5894.989</v>
      </c>
      <c r="C7" s="24" t="n">
        <f aca="false">C5*C8</f>
        <v>6901.824</v>
      </c>
      <c r="D7" s="24" t="n">
        <f aca="false">D5*D8</f>
        <v>7687.768</v>
      </c>
      <c r="E7" s="23" t="n">
        <f aca="false">Hipótesis!B33</f>
        <v>7997</v>
      </c>
      <c r="F7" s="24" t="n">
        <f aca="false">F5*F8</f>
        <v>8658.85944</v>
      </c>
      <c r="G7" s="24" t="n">
        <f aca="false">G5*G8</f>
        <v>9312.539346</v>
      </c>
      <c r="H7" s="24" t="n">
        <f aca="false">H5*H8</f>
        <v>9919.444349232</v>
      </c>
      <c r="I7" s="24" t="n">
        <f aca="false">I5*I8</f>
        <v>10515.8148262477</v>
      </c>
      <c r="J7" s="24" t="n">
        <f aca="false">J5*J8</f>
        <v>11094.9466572585</v>
      </c>
    </row>
    <row r="8" customFormat="false" ht="15" hidden="false" customHeight="false" outlineLevel="0" collapsed="false">
      <c r="A8" s="5" t="s">
        <v>71</v>
      </c>
      <c r="B8" s="27" t="n">
        <v>0.181</v>
      </c>
      <c r="C8" s="27" t="n">
        <v>0.192</v>
      </c>
      <c r="D8" s="27" t="n">
        <v>0.199</v>
      </c>
      <c r="E8" s="25" t="n">
        <f aca="false">E7/E5</f>
        <v>0.20060706401766</v>
      </c>
      <c r="F8" s="26" t="n">
        <f aca="false">Hipótesis!C23</f>
        <v>0.203</v>
      </c>
      <c r="G8" s="26" t="n">
        <f aca="false">Hipótesis!D23</f>
        <v>0.205</v>
      </c>
      <c r="H8" s="26" t="n">
        <f aca="false">Hipótesis!E23</f>
        <v>0.206</v>
      </c>
      <c r="I8" s="26" t="n">
        <f aca="false">Hipótesis!F23</f>
        <v>0.207</v>
      </c>
      <c r="J8" s="26" t="n">
        <f aca="false">Hipótesis!G23</f>
        <v>0.208</v>
      </c>
    </row>
    <row r="9" customFormat="false" ht="15" hidden="false" customHeight="false" outlineLevel="0" collapsed="false">
      <c r="A9" s="5" t="s">
        <v>72</v>
      </c>
      <c r="F9" s="24" t="n">
        <f aca="false">-F7*Hipótesis!C28</f>
        <v>-1948.243374</v>
      </c>
      <c r="G9" s="24" t="n">
        <f aca="false">-G7*Hipótesis!D28</f>
        <v>-2095.32135285</v>
      </c>
      <c r="H9" s="24" t="n">
        <f aca="false">-H7*Hipótesis!E28</f>
        <v>-2231.8749785772</v>
      </c>
      <c r="I9" s="24" t="n">
        <f aca="false">-I7*Hipótesis!F28</f>
        <v>-2366.05833590574</v>
      </c>
      <c r="J9" s="24" t="n">
        <f aca="false">-J7*Hipótesis!G28</f>
        <v>-2496.36299788316</v>
      </c>
    </row>
    <row r="10" customFormat="false" ht="15" hidden="false" customHeight="false" outlineLevel="0" collapsed="false">
      <c r="A10" s="4" t="s">
        <v>73</v>
      </c>
      <c r="F10" s="24" t="n">
        <f aca="false">F7+F9</f>
        <v>6710.616066</v>
      </c>
      <c r="G10" s="24" t="n">
        <f aca="false">G7+G9</f>
        <v>7217.21799315</v>
      </c>
      <c r="H10" s="24" t="n">
        <f aca="false">H7+H9</f>
        <v>7687.5693706548</v>
      </c>
      <c r="I10" s="24" t="n">
        <f aca="false">I7+I9</f>
        <v>8149.75649034198</v>
      </c>
      <c r="J10" s="24" t="n">
        <f aca="false">J7+J9</f>
        <v>8598.58365937531</v>
      </c>
    </row>
    <row r="11" customFormat="false" ht="15" hidden="false" customHeight="false" outlineLevel="0" collapsed="false">
      <c r="A11" s="5" t="s">
        <v>74</v>
      </c>
      <c r="E11" s="23" t="n">
        <f aca="false">Hipótesis!B34</f>
        <v>3270</v>
      </c>
      <c r="F11" s="24" t="n">
        <f aca="false">F5*Hipótesis!C24</f>
        <v>3497.66736</v>
      </c>
      <c r="G11" s="24" t="n">
        <f aca="false">G5*Hipótesis!D24</f>
        <v>3725.0157384</v>
      </c>
      <c r="H11" s="24" t="n">
        <f aca="false">H5*Hipótesis!E24</f>
        <v>3948.516682704</v>
      </c>
      <c r="I11" s="24" t="n">
        <f aca="false">I5*Hipótesis!F24</f>
        <v>4165.68510025272</v>
      </c>
      <c r="J11" s="24" t="n">
        <f aca="false">J5*Hipótesis!G24</f>
        <v>4373.96935526536</v>
      </c>
    </row>
    <row r="12" customFormat="false" ht="15" hidden="false" customHeight="false" outlineLevel="0" collapsed="false">
      <c r="A12" s="5" t="s">
        <v>75</v>
      </c>
      <c r="E12" s="23" t="n">
        <f aca="false">-Hipótesis!B35</f>
        <v>-2712</v>
      </c>
      <c r="F12" s="24" t="n">
        <f aca="false">-F5*Hipótesis!C25</f>
        <v>-2303.34192</v>
      </c>
      <c r="G12" s="24" t="n">
        <f aca="false">-G5*Hipótesis!D25</f>
        <v>-2498.486166</v>
      </c>
      <c r="H12" s="24" t="n">
        <f aca="false">-H5*Hipótesis!E25</f>
        <v>-2648.39533596</v>
      </c>
      <c r="I12" s="24" t="n">
        <f aca="false">-I5*Hipótesis!F25</f>
        <v>-2794.0570794378</v>
      </c>
      <c r="J12" s="24" t="n">
        <f aca="false">-J5*Hipótesis!G25</f>
        <v>-2933.75993340969</v>
      </c>
    </row>
    <row r="13" customFormat="false" ht="15" hidden="false" customHeight="false" outlineLevel="0" collapsed="false">
      <c r="A13" s="5" t="s">
        <v>76</v>
      </c>
      <c r="E13" s="23" t="n">
        <f aca="false">-Hipótesis!B36</f>
        <v>-1834</v>
      </c>
      <c r="F13" s="24" t="n">
        <f aca="false">-F5*Hipótesis!C26</f>
        <v>-1962.10608</v>
      </c>
      <c r="G13" s="24" t="n">
        <f aca="false">-G5*Hipótesis!D26</f>
        <v>-2089.6429752</v>
      </c>
      <c r="H13" s="24" t="n">
        <f aca="false">-H5*Hipótesis!E26</f>
        <v>-2215.021553712</v>
      </c>
      <c r="I13" s="24" t="n">
        <f aca="false">-I5*Hipótesis!F26</f>
        <v>-2336.84773916616</v>
      </c>
      <c r="J13" s="24" t="n">
        <f aca="false">-J5*Hipótesis!G26</f>
        <v>-2453.69012612447</v>
      </c>
    </row>
    <row r="14" customFormat="false" ht="15" hidden="false" customHeight="false" outlineLevel="0" collapsed="false">
      <c r="A14" s="5" t="s">
        <v>77</v>
      </c>
      <c r="F14" s="24" t="n">
        <f aca="false">-(F5-E5)*Hipótesis!C27</f>
        <v>-139.524</v>
      </c>
      <c r="G14" s="24" t="n">
        <f aca="false">-(G5-F5)*Hipótesis!D27</f>
        <v>-138.62706</v>
      </c>
      <c r="H14" s="24" t="n">
        <f aca="false">-(H5-G5)*Hipótesis!E27</f>
        <v>-136.2810636</v>
      </c>
      <c r="I14" s="24" t="n">
        <f aca="false">-(I5-H5)*Hipótesis!F27</f>
        <v>-132.419766798</v>
      </c>
      <c r="J14" s="24" t="n">
        <f aca="false">-(J5-I5)*Hipótesis!G27</f>
        <v>-127.0025945199</v>
      </c>
    </row>
    <row r="15" customFormat="false" ht="15" hidden="false" customHeight="false" outlineLevel="0" collapsed="false">
      <c r="A15" s="28" t="s">
        <v>78</v>
      </c>
      <c r="B15" s="29"/>
      <c r="C15" s="29"/>
      <c r="D15" s="29"/>
      <c r="E15" s="29"/>
      <c r="F15" s="30" t="n">
        <f aca="false">F10+F11+F12+F13+F14</f>
        <v>5803.311426</v>
      </c>
      <c r="G15" s="30" t="n">
        <f aca="false">G10+G11+G12+G13+G14</f>
        <v>6215.47753035</v>
      </c>
      <c r="H15" s="30" t="n">
        <f aca="false">H10+H11+H12+H13+H14</f>
        <v>6636.3881000868</v>
      </c>
      <c r="I15" s="30" t="n">
        <f aca="false">I10+I11+I12+I13+I14</f>
        <v>7052.11700519275</v>
      </c>
      <c r="J15" s="30" t="n">
        <f aca="false">J10+J11+J12+J13+J14</f>
        <v>7458.10036058661</v>
      </c>
    </row>
    <row r="17" customFormat="false" ht="15" hidden="false" customHeight="false" outlineLevel="0" collapsed="false">
      <c r="A17" s="5" t="s">
        <v>79</v>
      </c>
      <c r="F17" s="31" t="n">
        <f aca="false">(DATE(2027,1,31)-Hipótesis!$B$7)/365</f>
        <v>0.328767123287671</v>
      </c>
      <c r="G17" s="31" t="n">
        <f aca="false">(DATE(2028,1,31)-Hipótesis!$B$7)/365</f>
        <v>1.32876712328767</v>
      </c>
      <c r="H17" s="31" t="n">
        <f aca="false">(DATE(2029,1,31)-Hipótesis!$B$7)/365</f>
        <v>2.33150684931507</v>
      </c>
      <c r="I17" s="31" t="n">
        <f aca="false">(DATE(2030,1,31)-Hipótesis!$B$7)/365</f>
        <v>3.33150684931507</v>
      </c>
      <c r="J17" s="31" t="n">
        <f aca="false">(DATE(2031,1,31)-Hipótesis!$B$7)/365</f>
        <v>4.33150684931507</v>
      </c>
    </row>
    <row r="18" customFormat="false" ht="15" hidden="false" customHeight="false" outlineLevel="0" collapsed="false">
      <c r="A18" s="5" t="s">
        <v>80</v>
      </c>
      <c r="F18" s="32" t="n">
        <f aca="false">1/(1+Hipótesis!$B$17)^F17</f>
        <v>0.974422272071979</v>
      </c>
      <c r="G18" s="32" t="n">
        <f aca="false">1/(1+Hipótesis!$B$17)^G17</f>
        <v>0.900575112820683</v>
      </c>
      <c r="H18" s="32" t="n">
        <f aca="false">1/(1+Hipótesis!$B$17)^H17</f>
        <v>0.832144806557708</v>
      </c>
      <c r="I18" s="32" t="n">
        <f aca="false">1/(1+Hipótesis!$B$17)^I17</f>
        <v>0.769080227872188</v>
      </c>
      <c r="J18" s="32" t="n">
        <f aca="false">1/(1+Hipótesis!$B$17)^J17</f>
        <v>0.710795035002023</v>
      </c>
    </row>
    <row r="19" customFormat="false" ht="15" hidden="false" customHeight="false" outlineLevel="0" collapsed="false">
      <c r="A19" s="4" t="s">
        <v>81</v>
      </c>
      <c r="F19" s="33" t="n">
        <f aca="false">F15*F18</f>
        <v>5654.8759052642</v>
      </c>
      <c r="G19" s="33" t="n">
        <f aca="false">G15*G18</f>
        <v>5597.50437812937</v>
      </c>
      <c r="H19" s="33" t="n">
        <f aca="false">H15*H18</f>
        <v>5522.43589178861</v>
      </c>
      <c r="I19" s="33" t="n">
        <f aca="false">I15*I18</f>
        <v>5423.64375333497</v>
      </c>
      <c r="J19" s="33" t="n">
        <f aca="false">J15*J18</f>
        <v>5301.18070685176</v>
      </c>
    </row>
    <row r="22" customFormat="false" ht="15" hidden="false" customHeight="false" outlineLevel="0" collapsed="false">
      <c r="A22" s="16" t="s">
        <v>82</v>
      </c>
      <c r="B22" s="2"/>
      <c r="C22" s="2"/>
    </row>
    <row r="23" customFormat="false" ht="15" hidden="false" customHeight="false" outlineLevel="0" collapsed="false">
      <c r="A23" s="5" t="s">
        <v>83</v>
      </c>
      <c r="B23" s="24" t="n">
        <f aca="false">SUM(F19:J19)</f>
        <v>27499.6406353689</v>
      </c>
      <c r="D23" s="4" t="s">
        <v>84</v>
      </c>
    </row>
    <row r="24" customFormat="false" ht="15" hidden="false" customHeight="false" outlineLevel="0" collapsed="false">
      <c r="A24" s="5" t="s">
        <v>85</v>
      </c>
      <c r="B24" s="24" t="n">
        <f aca="false">J15*(1+Hipótesis!B18)</f>
        <v>7644.55286960127</v>
      </c>
      <c r="D24" s="5" t="s">
        <v>86</v>
      </c>
      <c r="H24" s="14" t="n">
        <f aca="false">B26/B27</f>
        <v>0.776112407424833</v>
      </c>
    </row>
    <row r="25" customFormat="false" ht="15" hidden="false" customHeight="false" outlineLevel="0" collapsed="false">
      <c r="A25" s="5" t="s">
        <v>87</v>
      </c>
      <c r="B25" s="24" t="n">
        <f aca="false">B24/(Hipótesis!B17-Hipótesis!B18)</f>
        <v>134114.962624584</v>
      </c>
      <c r="D25" s="5" t="s">
        <v>88</v>
      </c>
      <c r="H25" s="34" t="n">
        <f aca="false">B27/F7</f>
        <v>14.1852274008509</v>
      </c>
    </row>
    <row r="26" customFormat="false" ht="15" hidden="false" customHeight="false" outlineLevel="0" collapsed="false">
      <c r="A26" s="5" t="s">
        <v>89</v>
      </c>
      <c r="B26" s="24" t="n">
        <f aca="false">B25*J18</f>
        <v>95328.2495530359</v>
      </c>
      <c r="D26" s="5" t="s">
        <v>90</v>
      </c>
      <c r="H26" s="34" t="n">
        <f aca="false">B29/((F7+Hipótesis!B8*0.02)*(1-Hipótesis!C28))</f>
        <v>19.4443092007706</v>
      </c>
    </row>
    <row r="27" customFormat="false" ht="15" hidden="false" customHeight="false" outlineLevel="0" collapsed="false">
      <c r="A27" s="4" t="s">
        <v>91</v>
      </c>
      <c r="B27" s="33" t="n">
        <f aca="false">B23+B26</f>
        <v>122827.890188405</v>
      </c>
      <c r="D27" s="5" t="s">
        <v>92</v>
      </c>
      <c r="H27" s="34" t="n">
        <f aca="false">(Hipótesis!B5*Hipótesis!B6-Hipótesis!B8)/F7</f>
        <v>17.8975588036569</v>
      </c>
    </row>
    <row r="28" customFormat="false" ht="15" hidden="false" customHeight="false" outlineLevel="0" collapsed="false">
      <c r="A28" s="5" t="s">
        <v>93</v>
      </c>
      <c r="B28" s="23" t="n">
        <f aca="false">Hipótesis!B8</f>
        <v>10958</v>
      </c>
      <c r="D28" s="5" t="s">
        <v>94</v>
      </c>
      <c r="H28" s="26" t="n">
        <f aca="false">Hipótesis!B17</f>
        <v>0.082</v>
      </c>
    </row>
    <row r="29" customFormat="false" ht="15" hidden="false" customHeight="false" outlineLevel="0" collapsed="false">
      <c r="A29" s="4" t="s">
        <v>95</v>
      </c>
      <c r="B29" s="33" t="n">
        <f aca="false">B27+B28</f>
        <v>133785.890188405</v>
      </c>
      <c r="D29" s="5" t="s">
        <v>96</v>
      </c>
      <c r="H29" s="26" t="n">
        <f aca="false">Hipótesis!B18</f>
        <v>0.025</v>
      </c>
    </row>
    <row r="30" customFormat="false" ht="15" hidden="false" customHeight="false" outlineLevel="0" collapsed="false">
      <c r="A30" s="5" t="s">
        <v>5</v>
      </c>
      <c r="B30" s="35" t="n">
        <f aca="false">Hipótesis!B6</f>
        <v>3116.65</v>
      </c>
    </row>
    <row r="31" customFormat="false" ht="15" hidden="false" customHeight="false" outlineLevel="0" collapsed="false">
      <c r="A31" s="36" t="s">
        <v>97</v>
      </c>
      <c r="B31" s="37" t="n">
        <f aca="false">B29/B30</f>
        <v>42.92618362293</v>
      </c>
    </row>
    <row r="32" customFormat="false" ht="15" hidden="false" customHeight="false" outlineLevel="0" collapsed="false">
      <c r="A32" s="5" t="s">
        <v>98</v>
      </c>
      <c r="B32" s="38" t="n">
        <f aca="false">Hipótesis!B5</f>
        <v>53.24</v>
      </c>
    </row>
    <row r="33" customFormat="false" ht="15" hidden="false" customHeight="false" outlineLevel="0" collapsed="false">
      <c r="A33" s="36" t="s">
        <v>99</v>
      </c>
      <c r="B33" s="39" t="n">
        <f aca="false">B31/B32-1</f>
        <v>-0.193723072446844</v>
      </c>
    </row>
    <row r="36" customFormat="false" ht="15" hidden="false" customHeight="false" outlineLevel="0" collapsed="false">
      <c r="A36" s="4" t="s">
        <v>100</v>
      </c>
    </row>
    <row r="37" customFormat="false" ht="15" hidden="false" customHeight="false" outlineLevel="0" collapsed="false">
      <c r="A37" s="7" t="s">
        <v>101</v>
      </c>
    </row>
    <row r="38" customFormat="false" ht="15" hidden="false" customHeight="false" outlineLevel="0" collapsed="false">
      <c r="A38" s="7" t="s">
        <v>102</v>
      </c>
    </row>
    <row r="39" customFormat="false" ht="15" hidden="false" customHeight="false" outlineLevel="0" collapsed="false">
      <c r="A39" s="7" t="s">
        <v>103</v>
      </c>
    </row>
    <row r="40" customFormat="false" ht="15" hidden="false" customHeight="false" outlineLevel="0" collapsed="false">
      <c r="A40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8" min="3" style="0" width="12"/>
  </cols>
  <sheetData>
    <row r="1" customFormat="false" ht="24" hidden="false" customHeight="true" outlineLevel="0" collapsed="false">
      <c r="A1" s="1" t="s">
        <v>105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B3" s="40" t="s">
        <v>106</v>
      </c>
      <c r="C3" s="41" t="n">
        <v>0.015</v>
      </c>
      <c r="D3" s="41" t="n">
        <v>0.02</v>
      </c>
      <c r="E3" s="41" t="n">
        <v>0.025</v>
      </c>
      <c r="F3" s="41" t="n">
        <v>0.03</v>
      </c>
      <c r="G3" s="41" t="n">
        <v>0.035</v>
      </c>
    </row>
    <row r="4" customFormat="false" ht="15" hidden="false" customHeight="false" outlineLevel="0" collapsed="false">
      <c r="B4" s="41" t="n">
        <v>0.07</v>
      </c>
      <c r="C4" s="42" t="n">
        <f aca="false">(SUMPRODUCT(DCF!$F$15:$J$15/(1+$B4)^DCF!$F$17:$J$17)+DCF!$J$15*(1+C$3)/($B4-C$3)/(1+$B4)^DCF!$J$17+Hipótesis!$B$8)/Hipótesis!$B$6</f>
        <v>45.5129602446656</v>
      </c>
      <c r="D4" s="42" t="n">
        <f aca="false">(SUMPRODUCT(DCF!$F$15:$J$15/(1+$B4)^DCF!$F$17:$J$17)+DCF!$J$15*(1+D$3)/($B4-D$3)/(1+$B4)^DCF!$J$17+Hipótesis!$B$8)/Hipótesis!$B$6</f>
        <v>48.9858039895711</v>
      </c>
      <c r="E4" s="42" t="n">
        <f aca="false">(SUMPRODUCT(DCF!$F$15:$J$15/(1+$B4)^DCF!$F$17:$J$17)+DCF!$J$15*(1+E$3)/($B4-E$3)/(1+$B4)^DCF!$J$17+Hipótesis!$B$8)/Hipótesis!$B$6</f>
        <v>53.2303907889001</v>
      </c>
      <c r="F4" s="42" t="n">
        <f aca="false">(SUMPRODUCT(DCF!$F$15:$J$15/(1+$B4)^DCF!$F$17:$J$17)+DCF!$J$15*(1+F$3)/($B4-F$3)/(1+$B4)^DCF!$J$17+Hipótesis!$B$8)/Hipótesis!$B$6</f>
        <v>58.5361242880612</v>
      </c>
      <c r="G4" s="42" t="n">
        <f aca="false">(SUMPRODUCT(DCF!$F$15:$J$15/(1+$B4)^DCF!$F$17:$J$17)+DCF!$J$15*(1+G$3)/($B4-G$3)/(1+$B4)^DCF!$J$17+Hipótesis!$B$8)/Hipótesis!$B$6</f>
        <v>65.3577816441256</v>
      </c>
    </row>
    <row r="5" customFormat="false" ht="15" hidden="false" customHeight="false" outlineLevel="0" collapsed="false">
      <c r="B5" s="41" t="n">
        <v>0.075</v>
      </c>
      <c r="C5" s="42" t="n">
        <f aca="false">(SUMPRODUCT(DCF!$F$15:$J$15/(1+$B5)^DCF!$F$17:$J$17)+DCF!$J$15*(1+C$3)/($B5-C$3)/(1+$B5)^DCF!$J$17+Hipótesis!$B$8)/Hipótesis!$B$6</f>
        <v>42.0667659911434</v>
      </c>
      <c r="D5" s="42" t="n">
        <f aca="false">(SUMPRODUCT(DCF!$F$15:$J$15/(1+$B5)^DCF!$F$17:$J$17)+DCF!$J$15*(1+D$3)/($B5-D$3)/(1+$B5)^DCF!$J$17+Hipótesis!$B$8)/Hipótesis!$B$6</f>
        <v>44.9162008969975</v>
      </c>
      <c r="E5" s="42" t="n">
        <f aca="false">(SUMPRODUCT(DCF!$F$15:$J$15/(1+$B5)^DCF!$F$17:$J$17)+DCF!$J$15*(1+E$3)/($B5-E$3)/(1+$B5)^DCF!$J$17+Hipótesis!$B$8)/Hipótesis!$B$6</f>
        <v>48.3355227840225</v>
      </c>
      <c r="F5" s="42" t="n">
        <f aca="false">(SUMPRODUCT(DCF!$F$15:$J$15/(1+$B5)^DCF!$F$17:$J$17)+DCF!$J$15*(1+F$3)/($B5-F$3)/(1+$B5)^DCF!$J$17+Hipótesis!$B$8)/Hipótesis!$B$6</f>
        <v>52.5146939792753</v>
      </c>
      <c r="G5" s="42" t="n">
        <f aca="false">(SUMPRODUCT(DCF!$F$15:$J$15/(1+$B5)^DCF!$F$17:$J$17)+DCF!$J$15*(1+G$3)/($B5-G$3)/(1+$B5)^DCF!$J$17+Hipótesis!$B$8)/Hipótesis!$B$6</f>
        <v>57.7386579733412</v>
      </c>
    </row>
    <row r="6" customFormat="false" ht="15" hidden="false" customHeight="false" outlineLevel="0" collapsed="false">
      <c r="B6" s="41" t="n">
        <v>0.08</v>
      </c>
      <c r="C6" s="42" t="n">
        <f aca="false">(SUMPRODUCT(DCF!$F$15:$J$15/(1+$B6)^DCF!$F$17:$J$17)+DCF!$J$15*(1+C$3)/($B6-C$3)/(1+$B6)^DCF!$J$17+Hipótesis!$B$8)/Hipótesis!$B$6</f>
        <v>39.151316297632</v>
      </c>
      <c r="D6" s="42" t="n">
        <f aca="false">(SUMPRODUCT(DCF!$F$15:$J$15/(1+$B6)^DCF!$F$17:$J$17)+DCF!$J$15*(1+D$3)/($B6-D$3)/(1+$B6)^DCF!$J$17+Hipótesis!$B$8)/Hipótesis!$B$6</f>
        <v>41.525389557664</v>
      </c>
      <c r="E6" s="42" t="n">
        <f aca="false">(SUMPRODUCT(DCF!$F$15:$J$15/(1+$B6)^DCF!$F$17:$J$17)+DCF!$J$15*(1+E$3)/($B6-E$3)/(1+$B6)^DCF!$J$17+Hipótesis!$B$8)/Hipótesis!$B$6</f>
        <v>44.3311125013382</v>
      </c>
      <c r="F6" s="42" t="n">
        <f aca="false">(SUMPRODUCT(DCF!$F$15:$J$15/(1+$B6)^DCF!$F$17:$J$17)+DCF!$J$15*(1+F$3)/($B6-F$3)/(1+$B6)^DCF!$J$17+Hipótesis!$B$8)/Hipótesis!$B$6</f>
        <v>47.6979800337473</v>
      </c>
      <c r="G6" s="42" t="n">
        <f aca="false">(SUMPRODUCT(DCF!$F$15:$J$15/(1+$B6)^DCF!$F$17:$J$17)+DCF!$J$15*(1+G$3)/($B6-G$3)/(1+$B6)^DCF!$J$17+Hipótesis!$B$8)/Hipótesis!$B$6</f>
        <v>51.8130403511361</v>
      </c>
    </row>
    <row r="7" customFormat="false" ht="15" hidden="false" customHeight="false" outlineLevel="0" collapsed="false">
      <c r="B7" s="41" t="n">
        <v>0.085</v>
      </c>
      <c r="C7" s="42" t="n">
        <f aca="false">(SUMPRODUCT(DCF!$F$15:$J$15/(1+$B7)^DCF!$F$17:$J$17)+DCF!$J$15*(1+C$3)/($B7-C$3)/(1+$B7)^DCF!$J$17+Hipótesis!$B$8)/Hipótesis!$B$6</f>
        <v>36.6528670044641</v>
      </c>
      <c r="D7" s="42" t="n">
        <f aca="false">(SUMPRODUCT(DCF!$F$15:$J$15/(1+$B7)^DCF!$F$17:$J$17)+DCF!$J$15*(1+D$3)/($B7-D$3)/(1+$B7)^DCF!$J$17+Hipótesis!$B$8)/Hipótesis!$B$6</f>
        <v>38.6567131877909</v>
      </c>
      <c r="E7" s="42" t="n">
        <f aca="false">(SUMPRODUCT(DCF!$F$15:$J$15/(1+$B7)^DCF!$F$17:$J$17)+DCF!$J$15*(1+E$3)/($B7-E$3)/(1+$B7)^DCF!$J$17+Hipótesis!$B$8)/Hipótesis!$B$6</f>
        <v>40.9945337350056</v>
      </c>
      <c r="F7" s="42" t="n">
        <f aca="false">(SUMPRODUCT(DCF!$F$15:$J$15/(1+$B7)^DCF!$F$17:$J$17)+DCF!$J$15*(1+F$3)/($B7-F$3)/(1+$B7)^DCF!$J$17+Hipótesis!$B$8)/Hipótesis!$B$6</f>
        <v>43.757412563532</v>
      </c>
      <c r="G7" s="42" t="n">
        <f aca="false">(SUMPRODUCT(DCF!$F$15:$J$15/(1+$B7)^DCF!$F$17:$J$17)+DCF!$J$15*(1+G$3)/($B7-G$3)/(1+$B7)^DCF!$J$17+Hipótesis!$B$8)/Hipótesis!$B$6</f>
        <v>47.0728671577636</v>
      </c>
    </row>
    <row r="8" customFormat="false" ht="15" hidden="false" customHeight="false" outlineLevel="0" collapsed="false">
      <c r="B8" s="41" t="n">
        <v>0.09</v>
      </c>
      <c r="C8" s="42" t="n">
        <f aca="false">(SUMPRODUCT(DCF!$F$15:$J$15/(1+$B8)^DCF!$F$17:$J$17)+DCF!$J$15*(1+C$3)/($B8-C$3)/(1+$B8)^DCF!$J$17+Hipótesis!$B$8)/Hipótesis!$B$6</f>
        <v>34.4880060656962</v>
      </c>
      <c r="D8" s="42" t="n">
        <f aca="false">(SUMPRODUCT(DCF!$F$15:$J$15/(1+$B8)^DCF!$F$17:$J$17)+DCF!$J$15*(1+D$3)/($B8-D$3)/(1+$B8)^DCF!$J$17+Hipótesis!$B$8)/Hipótesis!$B$6</f>
        <v>36.1982744053137</v>
      </c>
      <c r="E8" s="42" t="n">
        <f aca="false">(SUMPRODUCT(DCF!$F$15:$J$15/(1+$B8)^DCF!$F$17:$J$17)+DCF!$J$15*(1+E$3)/($B8-E$3)/(1+$B8)^DCF!$J$17+Hipótesis!$B$8)/Hipótesis!$B$6</f>
        <v>38.1716609510262</v>
      </c>
      <c r="F8" s="42" t="n">
        <f aca="false">(SUMPRODUCT(DCF!$F$15:$J$15/(1+$B8)^DCF!$F$17:$J$17)+DCF!$J$15*(1+F$3)/($B8-F$3)/(1+$B8)^DCF!$J$17+Hipótesis!$B$8)/Hipótesis!$B$6</f>
        <v>40.4739452543574</v>
      </c>
      <c r="G8" s="42" t="n">
        <f aca="false">(SUMPRODUCT(DCF!$F$15:$J$15/(1+$B8)^DCF!$F$17:$J$17)+DCF!$J$15*(1+G$3)/($B8-G$3)/(1+$B8)^DCF!$J$17+Hipótesis!$B$8)/Hipótesis!$B$6</f>
        <v>43.1948267037489</v>
      </c>
    </row>
    <row r="9" customFormat="false" ht="15" hidden="false" customHeight="false" outlineLevel="0" collapsed="false">
      <c r="B9" s="41" t="n">
        <v>0.095</v>
      </c>
      <c r="C9" s="42" t="n">
        <f aca="false">(SUMPRODUCT(DCF!$F$15:$J$15/(1+$B9)^DCF!$F$17:$J$17)+DCF!$J$15*(1+C$3)/($B9-C$3)/(1+$B9)^DCF!$J$17+Hipótesis!$B$8)/Hipótesis!$B$6</f>
        <v>32.5941747535354</v>
      </c>
      <c r="D9" s="42" t="n">
        <f aca="false">(SUMPRODUCT(DCF!$F$15:$J$15/(1+$B9)^DCF!$F$17:$J$17)+DCF!$J$15*(1+D$3)/($B9-D$3)/(1+$B9)^DCF!$J$17+Hipótesis!$B$8)/Hipótesis!$B$6</f>
        <v>34.0680154198229</v>
      </c>
      <c r="E9" s="42" t="n">
        <f aca="false">(SUMPRODUCT(DCF!$F$15:$J$15/(1+$B9)^DCF!$F$17:$J$17)+DCF!$J$15*(1+E$3)/($B9-E$3)/(1+$B9)^DCF!$J$17+Hipótesis!$B$8)/Hipótesis!$B$6</f>
        <v>35.7524047527228</v>
      </c>
      <c r="F9" s="42" t="n">
        <f aca="false">(SUMPRODUCT(DCF!$F$15:$J$15/(1+$B9)^DCF!$F$17:$J$17)+DCF!$J$15*(1+F$3)/($B9-F$3)/(1+$B9)^DCF!$J$17+Hipótesis!$B$8)/Hipótesis!$B$6</f>
        <v>37.695930906069</v>
      </c>
      <c r="G9" s="42" t="n">
        <f aca="false">(SUMPRODUCT(DCF!$F$15:$J$15/(1+$B9)^DCF!$F$17:$J$17)+DCF!$J$15*(1+G$3)/($B9-G$3)/(1+$B9)^DCF!$J$17+Hipótesis!$B$8)/Hipótesis!$B$6</f>
        <v>39.9633780849728</v>
      </c>
    </row>
    <row r="11" customFormat="false" ht="15" hidden="false" customHeight="false" outlineLevel="0" collapsed="false">
      <c r="B11" s="4" t="s">
        <v>107</v>
      </c>
      <c r="C11" s="38" t="n">
        <f aca="false">Hipótesis!B5</f>
        <v>53.24</v>
      </c>
    </row>
    <row r="12" customFormat="false" ht="15" hidden="false" customHeight="false" outlineLevel="0" collapsed="false">
      <c r="B12" s="4" t="s">
        <v>108</v>
      </c>
      <c r="C12" s="38" t="n">
        <f aca="false">DCF!B31</f>
        <v>42.92618362293</v>
      </c>
    </row>
    <row r="14" customFormat="false" ht="15" hidden="false" customHeight="false" outlineLevel="0" collapsed="false">
      <c r="B14" s="22" t="s">
        <v>109</v>
      </c>
    </row>
  </sheetData>
  <conditionalFormatting sqref="C4:G9">
    <cfRule type="cellIs" priority="2" operator="greaterThanOrEqual" aboveAverage="0" equalAverage="0" bottom="0" percent="0" rank="0" text="" dxfId="0">
      <formula>$C$11</formula>
    </cfRule>
    <cfRule type="cellIs" priority="3" operator="lessThan" aboveAverage="0" equalAverage="0" bottom="0" percent="0" rank="0" text="" dxfId="1">
      <formula>$C$11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9" min="7" style="0" width="11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2" t="s">
        <v>111</v>
      </c>
    </row>
    <row r="4" customFormat="false" ht="30" hidden="false" customHeight="true" outlineLevel="0" collapsed="false">
      <c r="A4" s="43" t="s">
        <v>112</v>
      </c>
      <c r="B4" s="43" t="s">
        <v>113</v>
      </c>
      <c r="C4" s="43" t="s">
        <v>114</v>
      </c>
      <c r="D4" s="43" t="s">
        <v>115</v>
      </c>
      <c r="E4" s="43" t="s">
        <v>116</v>
      </c>
      <c r="F4" s="43" t="s">
        <v>117</v>
      </c>
      <c r="G4" s="43" t="s">
        <v>118</v>
      </c>
      <c r="H4" s="43" t="s">
        <v>119</v>
      </c>
      <c r="I4" s="43" t="s">
        <v>120</v>
      </c>
      <c r="J4" s="43" t="s">
        <v>121</v>
      </c>
    </row>
    <row r="5" customFormat="false" ht="15" hidden="false" customHeight="false" outlineLevel="0" collapsed="false">
      <c r="A5" s="5" t="s">
        <v>122</v>
      </c>
      <c r="B5" s="5" t="s">
        <v>123</v>
      </c>
      <c r="C5" s="18" t="n">
        <v>254222</v>
      </c>
      <c r="D5" s="18" t="n">
        <v>308232</v>
      </c>
      <c r="E5" s="18" t="n">
        <v>19234</v>
      </c>
      <c r="F5" s="18" t="n">
        <v>12698</v>
      </c>
      <c r="G5" s="44" t="n">
        <f aca="false">D5/E5</f>
        <v>16.0253717375481</v>
      </c>
      <c r="H5" s="44" t="n">
        <f aca="false">C5/F5</f>
        <v>20.020633170578</v>
      </c>
      <c r="I5" s="5" t="s">
        <v>124</v>
      </c>
      <c r="J5" s="7" t="s">
        <v>125</v>
      </c>
    </row>
    <row r="6" customFormat="false" ht="15" hidden="false" customHeight="false" outlineLevel="0" collapsed="false">
      <c r="A6" s="5" t="s">
        <v>126</v>
      </c>
      <c r="B6" s="5" t="s">
        <v>127</v>
      </c>
      <c r="C6" s="18" t="n">
        <v>20841322</v>
      </c>
      <c r="D6" s="18" t="n">
        <v>19809562</v>
      </c>
      <c r="E6" s="18" t="n">
        <v>733476</v>
      </c>
      <c r="F6" s="18" t="n">
        <v>512531</v>
      </c>
      <c r="G6" s="44" t="n">
        <f aca="false">D6/E6</f>
        <v>27.0077848491294</v>
      </c>
      <c r="H6" s="44" t="n">
        <f aca="false">C6/F6</f>
        <v>40.6635344984011</v>
      </c>
      <c r="I6" s="5" t="s">
        <v>128</v>
      </c>
      <c r="J6" s="7" t="s">
        <v>129</v>
      </c>
    </row>
    <row r="7" customFormat="false" ht="15" hidden="false" customHeight="false" outlineLevel="0" collapsed="false">
      <c r="A7" s="5" t="s">
        <v>130</v>
      </c>
      <c r="B7" s="5" t="s">
        <v>131</v>
      </c>
      <c r="C7" s="18" t="n">
        <v>16729</v>
      </c>
      <c r="D7" s="18" t="n">
        <v>18447</v>
      </c>
      <c r="E7" s="18" t="n">
        <v>1337</v>
      </c>
      <c r="F7" s="18" t="n">
        <v>943.1</v>
      </c>
      <c r="G7" s="44" t="n">
        <f aca="false">D7/E7</f>
        <v>13.7973074046372</v>
      </c>
      <c r="H7" s="44" t="n">
        <f aca="false">C7/F7</f>
        <v>17.7383098292864</v>
      </c>
      <c r="I7" s="5" t="s">
        <v>132</v>
      </c>
      <c r="J7" s="7" t="s">
        <v>133</v>
      </c>
    </row>
    <row r="8" customFormat="false" ht="15" hidden="false" customHeight="false" outlineLevel="0" collapsed="false">
      <c r="A8" s="5" t="s">
        <v>134</v>
      </c>
      <c r="B8" s="5" t="s">
        <v>131</v>
      </c>
      <c r="C8" s="18" t="n">
        <v>12767</v>
      </c>
      <c r="D8" s="18" t="n">
        <v>15605</v>
      </c>
      <c r="E8" s="18" t="n">
        <v>1505</v>
      </c>
      <c r="F8" s="18" t="n">
        <v>1013</v>
      </c>
      <c r="G8" s="44" t="n">
        <f aca="false">D8/E8</f>
        <v>10.3687707641196</v>
      </c>
      <c r="H8" s="44" t="n">
        <f aca="false">C8/F8</f>
        <v>12.6031589338598</v>
      </c>
      <c r="I8" s="5" t="s">
        <v>135</v>
      </c>
      <c r="J8" s="7" t="s">
        <v>136</v>
      </c>
    </row>
    <row r="9" customFormat="false" ht="15" hidden="false" customHeight="false" outlineLevel="0" collapsed="false">
      <c r="A9" s="4" t="s">
        <v>137</v>
      </c>
      <c r="G9" s="45" t="n">
        <f aca="false">MEDIAN(G5:G8)</f>
        <v>14.9113395710927</v>
      </c>
      <c r="H9" s="45" t="n">
        <f aca="false">MEDIAN(H5:H8)</f>
        <v>18.8794714999322</v>
      </c>
    </row>
    <row r="10" customFormat="false" ht="15" hidden="false" customHeight="false" outlineLevel="0" collapsed="false">
      <c r="A10" s="5" t="s">
        <v>138</v>
      </c>
      <c r="G10" s="44" t="n">
        <f aca="false">MIN(G5:G8)</f>
        <v>10.3687707641196</v>
      </c>
      <c r="H10" s="44" t="n">
        <f aca="false">MIN(H5:H8)</f>
        <v>12.6031589338598</v>
      </c>
    </row>
    <row r="11" customFormat="false" ht="15" hidden="false" customHeight="false" outlineLevel="0" collapsed="false">
      <c r="A11" s="5" t="s">
        <v>139</v>
      </c>
      <c r="G11" s="44" t="n">
        <f aca="false">MAX(G5:G8)</f>
        <v>27.0077848491294</v>
      </c>
      <c r="H11" s="44" t="n">
        <f aca="false">MAX(H5:H8)</f>
        <v>40.6635344984011</v>
      </c>
    </row>
    <row r="13" customFormat="false" ht="15" hidden="false" customHeight="false" outlineLevel="0" collapsed="false">
      <c r="A13" s="46" t="s">
        <v>140</v>
      </c>
      <c r="B13" s="47" t="s">
        <v>141</v>
      </c>
      <c r="C13" s="48" t="n">
        <f aca="false">Hipótesis!B5*Hipótesis!B6</f>
        <v>165930.446</v>
      </c>
      <c r="D13" s="49" t="n">
        <f aca="false">C13-Hipótesis!B8</f>
        <v>154972.446</v>
      </c>
      <c r="E13" s="50" t="n">
        <v>8667</v>
      </c>
      <c r="F13" s="50" t="n">
        <v>6735</v>
      </c>
      <c r="G13" s="51" t="n">
        <f aca="false">D13/E13</f>
        <v>17.8807483558325</v>
      </c>
      <c r="H13" s="51" t="n">
        <f aca="false">C13/F13</f>
        <v>24.637037268003</v>
      </c>
      <c r="I13" s="47" t="s">
        <v>132</v>
      </c>
      <c r="J13" s="52" t="s">
        <v>142</v>
      </c>
    </row>
    <row r="14" customFormat="false" ht="15" hidden="false" customHeight="false" outlineLevel="0" collapsed="false">
      <c r="A14" s="5" t="s">
        <v>143</v>
      </c>
      <c r="G14" s="25" t="n">
        <f aca="false">G13/G9-1</f>
        <v>0.199137627480253</v>
      </c>
      <c r="H14" s="25" t="n">
        <f aca="false">H13/H9-1</f>
        <v>0.304964350728325</v>
      </c>
    </row>
    <row r="17" customFormat="false" ht="15" hidden="false" customHeight="false" outlineLevel="0" collapsed="false">
      <c r="A17" s="16" t="s">
        <v>144</v>
      </c>
      <c r="B17" s="17" t="s">
        <v>138</v>
      </c>
      <c r="C17" s="17" t="s">
        <v>145</v>
      </c>
      <c r="D17" s="17" t="s">
        <v>139</v>
      </c>
      <c r="E17" s="2"/>
    </row>
    <row r="18" customFormat="false" ht="15" hidden="false" customHeight="false" outlineLevel="0" collapsed="false">
      <c r="A18" s="5" t="s">
        <v>146</v>
      </c>
      <c r="B18" s="53" t="n">
        <f aca="false">(G10*$E$13+Hipótesis!$B$8)/Hipótesis!$B$6</f>
        <v>32.3501632241749</v>
      </c>
      <c r="C18" s="53" t="n">
        <f aca="false">(G9*$E$13+Hipótesis!$B$8)/Hipótesis!$B$6</f>
        <v>44.9824587498308</v>
      </c>
      <c r="D18" s="53" t="n">
        <f aca="false">(G11*$E$13+Hipótesis!$B$8)/Hipótesis!$B$6</f>
        <v>78.6211064082923</v>
      </c>
    </row>
    <row r="19" customFormat="false" ht="15" hidden="false" customHeight="false" outlineLevel="0" collapsed="false">
      <c r="A19" s="5" t="s">
        <v>147</v>
      </c>
      <c r="B19" s="53" t="n">
        <f aca="false">H10*$F$13/Hipótesis!$B$6</f>
        <v>27.2351003223159</v>
      </c>
      <c r="C19" s="53" t="n">
        <f aca="false">H9*$F$13/Hipótesis!$B$6</f>
        <v>40.798049364556</v>
      </c>
      <c r="D19" s="53" t="n">
        <f aca="false">H11*$F$13/Hipótesis!$B$6</f>
        <v>87.872845794918</v>
      </c>
    </row>
    <row r="20" customFormat="false" ht="15" hidden="false" customHeight="false" outlineLevel="0" collapsed="false">
      <c r="A20" s="4" t="s">
        <v>148</v>
      </c>
      <c r="C20" s="54" t="n">
        <f aca="false">AVERAGE(C18:C19)</f>
        <v>42.8902540571934</v>
      </c>
    </row>
    <row r="23" customFormat="false" ht="15" hidden="false" customHeight="false" outlineLevel="0" collapsed="false">
      <c r="A23" s="16" t="s">
        <v>149</v>
      </c>
      <c r="B23" s="16" t="s">
        <v>150</v>
      </c>
      <c r="C23" s="16" t="s">
        <v>151</v>
      </c>
    </row>
    <row r="24" customFormat="false" ht="15" hidden="false" customHeight="false" outlineLevel="0" collapsed="false">
      <c r="A24" s="13" t="s">
        <v>152</v>
      </c>
      <c r="B24" s="55" t="n">
        <v>0.5</v>
      </c>
      <c r="C24" s="38" t="n">
        <f aca="false">DCF!B31</f>
        <v>42.92618362293</v>
      </c>
    </row>
    <row r="25" customFormat="false" ht="15" hidden="false" customHeight="false" outlineLevel="0" collapsed="false">
      <c r="A25" s="13" t="s">
        <v>153</v>
      </c>
      <c r="B25" s="56" t="n">
        <f aca="false">1-B24</f>
        <v>0.5</v>
      </c>
      <c r="C25" s="53" t="n">
        <f aca="false">C20</f>
        <v>42.8902540571934</v>
      </c>
    </row>
    <row r="26" customFormat="false" ht="15" hidden="false" customHeight="false" outlineLevel="0" collapsed="false">
      <c r="A26" s="4" t="s">
        <v>154</v>
      </c>
      <c r="C26" s="37" t="n">
        <f aca="false">SUMPRODUCT(B24:B25,C24:C25)</f>
        <v>42.9082188400617</v>
      </c>
    </row>
    <row r="27" customFormat="false" ht="15" hidden="false" customHeight="false" outlineLevel="0" collapsed="false">
      <c r="A27" s="13" t="s">
        <v>155</v>
      </c>
      <c r="C27" s="38" t="n">
        <f aca="false">Hipótesis!B5</f>
        <v>53.24</v>
      </c>
    </row>
    <row r="28" customFormat="false" ht="15" hidden="false" customHeight="false" outlineLevel="0" collapsed="false">
      <c r="A28" s="4" t="s">
        <v>156</v>
      </c>
      <c r="C28" s="57" t="n">
        <f aca="false">C26/C27-1</f>
        <v>-0.194060502628443</v>
      </c>
    </row>
    <row r="29" customFormat="false" ht="15" hidden="false" customHeight="false" outlineLevel="0" collapsed="false">
      <c r="A29" s="4" t="s">
        <v>157</v>
      </c>
      <c r="C29" s="58" t="str">
        <f aca="false">IF(C28&gt;0.15,"COMPRAR",IF(C28&lt;-0.15,"VENDER","MANTENER"))</f>
        <v>VENDER</v>
      </c>
      <c r="D29" s="7" t="s">
        <v>158</v>
      </c>
    </row>
    <row r="31" customFormat="false" ht="15" hidden="false" customHeight="false" outlineLevel="0" collapsed="false">
      <c r="A31" s="4" t="s">
        <v>159</v>
      </c>
    </row>
    <row r="32" customFormat="false" ht="15" hidden="false" customHeight="false" outlineLevel="0" collapsed="false">
      <c r="A32" s="7" t="s">
        <v>160</v>
      </c>
    </row>
    <row r="33" customFormat="false" ht="15" hidden="false" customHeight="false" outlineLevel="0" collapsed="false">
      <c r="A33" s="7" t="s">
        <v>161</v>
      </c>
    </row>
    <row r="34" customFormat="false" ht="15" hidden="false" customHeight="false" outlineLevel="0" collapsed="false">
      <c r="A34" s="7" t="s">
        <v>162</v>
      </c>
    </row>
    <row r="37" customFormat="false" ht="15" hidden="false" customHeight="false" outlineLevel="0" collapsed="false">
      <c r="A37" s="16" t="s">
        <v>163</v>
      </c>
      <c r="B37" s="16" t="s">
        <v>138</v>
      </c>
      <c r="C37" s="16" t="s">
        <v>139</v>
      </c>
      <c r="D37" s="16" t="s">
        <v>164</v>
      </c>
    </row>
    <row r="38" customFormat="false" ht="15" hidden="false" customHeight="false" outlineLevel="0" collapsed="false">
      <c r="A38" s="5" t="s">
        <v>165</v>
      </c>
      <c r="B38" s="59" t="n">
        <v>46.07</v>
      </c>
      <c r="C38" s="59" t="n">
        <v>59.42</v>
      </c>
      <c r="D38" s="7" t="s">
        <v>166</v>
      </c>
    </row>
    <row r="39" customFormat="false" ht="15" hidden="false" customHeight="false" outlineLevel="0" collapsed="false">
      <c r="A39" s="5" t="s">
        <v>167</v>
      </c>
      <c r="B39" s="60" t="n">
        <f aca="false">MIN(Sensibilidad!D5:F7)</f>
        <v>38.6567131877909</v>
      </c>
      <c r="C39" s="60" t="n">
        <f aca="false">MAX(Sensibilidad!D5:F7)</f>
        <v>52.5146939792753</v>
      </c>
      <c r="D39" s="7" t="s">
        <v>168</v>
      </c>
    </row>
    <row r="40" customFormat="false" ht="15" hidden="false" customHeight="false" outlineLevel="0" collapsed="false">
      <c r="A40" s="5" t="s">
        <v>169</v>
      </c>
      <c r="B40" s="60" t="n">
        <f aca="false">(QUARTILE(G5:G8,1)*$E$13+Hipótesis!$B$8)/Hipótesis!$B$6</f>
        <v>39.5009004893554</v>
      </c>
      <c r="C40" s="60" t="n">
        <f aca="false">(QUARTILE(G5:G8,3)*$E$13+Hipótesis!$B$8)/Hipótesis!$B$6</f>
        <v>55.7156050435076</v>
      </c>
      <c r="D40" s="7" t="s">
        <v>170</v>
      </c>
    </row>
    <row r="41" customFormat="false" ht="15" hidden="false" customHeight="false" outlineLevel="0" collapsed="false">
      <c r="A41" s="5" t="s">
        <v>171</v>
      </c>
      <c r="B41" s="60" t="n">
        <f aca="false">QUARTILE(H5:H8,1)*$F$13/Hipótesis!$B$6</f>
        <v>35.5577964738002</v>
      </c>
      <c r="C41" s="60" t="n">
        <f aca="false">QUARTILE(H5:H8,3)*$F$13/Hipótesis!$B$6</f>
        <v>54.4162641023423</v>
      </c>
      <c r="D41" s="7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2026-10-03T16:41:53Z</dcterms:created>
  <dc:creator>openpyxl</dc:creator>
  <dc:description/>
  <dc:language>en-US</dc:language>
  <cp:lastModifiedBy/>
  <dcterms:modified xsi:type="dcterms:W3CDTF">2026-10-03T16:41:53Z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